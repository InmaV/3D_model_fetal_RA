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188565\Downloads\"/>
    </mc:Choice>
  </mc:AlternateContent>
  <xr:revisionPtr revIDLastSave="0" documentId="13_ncr:1_{882DED5E-9133-4659-8D1D-59F60DA31928}" xr6:coauthVersionLast="36" xr6:coauthVersionMax="36" xr10:uidLastSave="{00000000-0000-0000-0000-000000000000}"/>
  <bookViews>
    <workbookView xWindow="0" yWindow="0" windowWidth="14640" windowHeight="8550" xr2:uid="{00000000-000D-0000-FFFF-FFFF00000000}"/>
  </bookViews>
  <sheets>
    <sheet name="FO" sheetId="1" r:id="rId1"/>
    <sheet name="TV" sheetId="2" r:id="rId2"/>
  </sheets>
  <calcPr calcId="191029"/>
</workbook>
</file>

<file path=xl/calcChain.xml><?xml version="1.0" encoding="utf-8"?>
<calcChain xmlns="http://schemas.openxmlformats.org/spreadsheetml/2006/main">
  <c r="L5" i="1" l="1"/>
  <c r="O5" i="1"/>
  <c r="O3" i="1" l="1"/>
  <c r="O4" i="1"/>
  <c r="O6" i="1"/>
  <c r="O7" i="1"/>
  <c r="O8" i="1"/>
  <c r="O9" i="1"/>
  <c r="O10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L3" i="1"/>
  <c r="L4" i="1"/>
  <c r="L6" i="1"/>
  <c r="L7" i="1"/>
  <c r="L8" i="1"/>
  <c r="L9" i="1"/>
  <c r="L10" i="1"/>
  <c r="L2" i="1"/>
  <c r="J3" i="1"/>
  <c r="J4" i="1"/>
  <c r="J5" i="1"/>
  <c r="J6" i="1"/>
  <c r="J7" i="1"/>
  <c r="J8" i="1"/>
  <c r="J9" i="1"/>
  <c r="J10" i="1"/>
  <c r="J2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G10" i="1"/>
  <c r="G9" i="1"/>
  <c r="G8" i="1"/>
  <c r="G7" i="1"/>
  <c r="G6" i="1"/>
  <c r="G5" i="1"/>
  <c r="G4" i="1"/>
  <c r="I3" i="1"/>
  <c r="H3" i="1"/>
  <c r="G3" i="1"/>
  <c r="I2" i="1"/>
  <c r="H2" i="1"/>
  <c r="G2" i="1"/>
  <c r="O2" i="1" l="1"/>
</calcChain>
</file>

<file path=xl/sharedStrings.xml><?xml version="1.0" encoding="utf-8"?>
<sst xmlns="http://schemas.openxmlformats.org/spreadsheetml/2006/main" count="27" uniqueCount="19">
  <si>
    <t>simulation</t>
  </si>
  <si>
    <t>DV</t>
  </si>
  <si>
    <t>IVC</t>
  </si>
  <si>
    <t>SVC</t>
  </si>
  <si>
    <t>10cycles</t>
  </si>
  <si>
    <t>cycle</t>
  </si>
  <si>
    <t>ER DV</t>
  </si>
  <si>
    <t>ER IVC</t>
  </si>
  <si>
    <t>ER SVC</t>
  </si>
  <si>
    <t>ER SUMA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</si>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</sst>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" fontId="0" fillId="0" borderId="0" xfId="0" quotePrefix="1" applyNumberFormat="1"/>
    <xf numFmtId="2" fontId="0" fillId="0" borderId="0" xfId="0" applyNumberFormat="1"/>
    <xf numFmtId="2" fontId="0" fillId="3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G6" sqref="G6"/>
    </sheetView>
  </sheetViews>
  <sheetFormatPr defaultRowHeight="15" x14ac:dyDescent="0.25"/>
  <cols>
    <col min="12" max="14" width="9.28515625" bestFit="1" customWidth="1"/>
    <col min="15" max="15" width="9.5703125" bestFit="1" customWidth="1"/>
  </cols>
  <sheetData>
    <row r="1" spans="1:15" x14ac:dyDescent="0.25">
      <c r="A1" t="s">
        <v>5</v>
      </c>
      <c r="B1" t="s">
        <v>1</v>
      </c>
      <c r="C1" t="s">
        <v>2</v>
      </c>
      <c r="D1" t="s">
        <v>3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>
        <v>1</v>
      </c>
      <c r="B2">
        <v>94.46</v>
      </c>
      <c r="C2">
        <v>75.08</v>
      </c>
      <c r="D2">
        <v>30.06</v>
      </c>
      <c r="G2">
        <f>ABS(B11-B2)/B11*100</f>
        <v>16.646085453198307</v>
      </c>
      <c r="H2">
        <f>ABS(C11-C2)/C11*100</f>
        <v>59.541011474713123</v>
      </c>
      <c r="I2">
        <f>ABS(D11-D2)/D11*100</f>
        <v>68.49775784753362</v>
      </c>
      <c r="J2">
        <f>G2+H2+I2</f>
        <v>144.68485477544505</v>
      </c>
      <c r="K2" s="2" t="s">
        <v>10</v>
      </c>
      <c r="L2" s="3">
        <f>ABS(B3-B2)/B3*100</f>
        <v>17.927590511860174</v>
      </c>
      <c r="M2" s="3">
        <f>ABS(C3-C2)/C3*100</f>
        <v>45.222437137330743</v>
      </c>
      <c r="N2" s="3">
        <f>ABS(D3-D2)/D3*100</f>
        <v>67.839195979899486</v>
      </c>
      <c r="O2" s="3">
        <f>L2+M2+N2</f>
        <v>130.98922362909042</v>
      </c>
    </row>
    <row r="3" spans="1:15" x14ac:dyDescent="0.25">
      <c r="A3">
        <v>2</v>
      </c>
      <c r="B3">
        <v>80.099999999999994</v>
      </c>
      <c r="C3">
        <v>51.7</v>
      </c>
      <c r="D3">
        <v>17.91</v>
      </c>
      <c r="G3">
        <f>ABS(B11-B3)/B11*100</f>
        <v>1.0866880711286857</v>
      </c>
      <c r="H3">
        <f>ABS(C11-C3)/C11*100</f>
        <v>9.8597535061623471</v>
      </c>
      <c r="I3">
        <f>ABS(D11-D3)/D11*100</f>
        <v>0.39237668161435135</v>
      </c>
      <c r="J3">
        <f t="shared" ref="J3:J10" si="0">G3+H3+I3</f>
        <v>11.338818258905384</v>
      </c>
      <c r="K3" s="2" t="s">
        <v>11</v>
      </c>
      <c r="L3" s="3">
        <f>ABS(B4-B3)/B4*100</f>
        <v>1.2898330804248812</v>
      </c>
      <c r="M3" s="3">
        <f>ABS(C4-C3)/C4*100</f>
        <v>8.2269206615030335</v>
      </c>
      <c r="N3" s="3">
        <f>ABS(D4-D3)/D4*100</f>
        <v>12.358845671267256</v>
      </c>
      <c r="O3" s="3">
        <f t="shared" ref="O3:O10" si="1">L3+M3+N3</f>
        <v>21.875599413195168</v>
      </c>
    </row>
    <row r="4" spans="1:15" x14ac:dyDescent="0.25">
      <c r="A4">
        <v>3</v>
      </c>
      <c r="B4">
        <v>79.08</v>
      </c>
      <c r="C4">
        <v>47.77</v>
      </c>
      <c r="D4">
        <v>15.94</v>
      </c>
      <c r="G4">
        <f>ABS(B11-B4)/B11</f>
        <v>2.3462583353914615E-2</v>
      </c>
      <c r="H4">
        <f t="shared" ref="H4:I4" si="2">ABS(C11-C4)/C11</f>
        <v>1.5087122821929469E-2</v>
      </c>
      <c r="I4">
        <f t="shared" si="2"/>
        <v>0.10650224215246638</v>
      </c>
      <c r="J4">
        <f t="shared" si="0"/>
        <v>0.14505194832831048</v>
      </c>
      <c r="K4" s="2" t="s">
        <v>12</v>
      </c>
      <c r="L4" s="3">
        <f>ABS(B5-B4)/B5*100</f>
        <v>0.51578814945275708</v>
      </c>
      <c r="M4" s="3">
        <f>ABS(C5-C4)/C5*100</f>
        <v>2.8860650441524949</v>
      </c>
      <c r="N4" s="3">
        <f>ABS(D5-D4)/D5*100</f>
        <v>10.700280112044828</v>
      </c>
      <c r="O4" s="3">
        <f t="shared" si="1"/>
        <v>14.10213330565008</v>
      </c>
    </row>
    <row r="5" spans="1:15" x14ac:dyDescent="0.25">
      <c r="A5">
        <v>4</v>
      </c>
      <c r="B5">
        <v>79.489999999999995</v>
      </c>
      <c r="C5">
        <v>46.43</v>
      </c>
      <c r="D5">
        <v>17.850000000000001</v>
      </c>
      <c r="G5">
        <f>ABS(B11-B5)/B11</f>
        <v>1.8399604840701519E-2</v>
      </c>
      <c r="H5">
        <f t="shared" ref="H5:I5" si="3">ABS(C11-C5)/C11</f>
        <v>1.3387165320867032E-2</v>
      </c>
      <c r="I5">
        <f t="shared" si="3"/>
        <v>5.6053811659201585E-4</v>
      </c>
      <c r="J5">
        <f t="shared" si="0"/>
        <v>3.2347308278160562E-2</v>
      </c>
      <c r="K5" s="2" t="s">
        <v>13</v>
      </c>
      <c r="L5" s="3">
        <f>ABS(B6-B5)/B6*100</f>
        <v>1.9126357354393033</v>
      </c>
      <c r="M5" s="3">
        <f>ABS(C6-C5)/C6*100</f>
        <v>5.2255562359665282</v>
      </c>
      <c r="N5" s="3">
        <f>ABS(D6-D5)/D6*100</f>
        <v>5.9976247030878955</v>
      </c>
      <c r="O5" s="4">
        <f>L5+M5+N5</f>
        <v>13.135816674493727</v>
      </c>
    </row>
    <row r="6" spans="1:15" x14ac:dyDescent="0.25">
      <c r="A6">
        <v>5</v>
      </c>
      <c r="B6">
        <v>81.040000000000006</v>
      </c>
      <c r="C6">
        <v>48.99</v>
      </c>
      <c r="D6">
        <v>16.84</v>
      </c>
      <c r="G6">
        <f>ABS(B11-B6)/B11</f>
        <v>7.4092368486048743E-4</v>
      </c>
      <c r="H6">
        <f t="shared" ref="H6:I6" si="4">ABS(C11-C6)/C11</f>
        <v>4.1011474713132164E-2</v>
      </c>
      <c r="I6">
        <f t="shared" si="4"/>
        <v>5.6053811659192827E-2</v>
      </c>
      <c r="J6" s="1">
        <f t="shared" si="0"/>
        <v>9.7806210057185483E-2</v>
      </c>
      <c r="K6" s="2" t="s">
        <v>14</v>
      </c>
      <c r="L6" s="3">
        <f>ABS(B7-B6)/B7*100</f>
        <v>0.30754090294009101</v>
      </c>
      <c r="M6" s="3">
        <f>ABS(C7-C6)/C7*100</f>
        <v>4.9710734947503754</v>
      </c>
      <c r="N6" s="3">
        <f>ABS(D7-D6)/D7*100</f>
        <v>3.3128834355828167</v>
      </c>
      <c r="O6" s="5">
        <f t="shared" si="1"/>
        <v>8.5914978332732836</v>
      </c>
    </row>
    <row r="7" spans="1:15" x14ac:dyDescent="0.25">
      <c r="A7">
        <v>6</v>
      </c>
      <c r="B7">
        <v>81.290000000000006</v>
      </c>
      <c r="C7">
        <v>46.67</v>
      </c>
      <c r="D7">
        <v>16.3</v>
      </c>
      <c r="G7">
        <f>ABS(B11-B7)/B11</f>
        <v>3.8281057051124012E-3</v>
      </c>
      <c r="H7">
        <f t="shared" ref="H7:I7" si="5">ABS(C11-C7)/C11</f>
        <v>8.2872928176795698E-3</v>
      </c>
      <c r="I7">
        <f t="shared" si="5"/>
        <v>8.6322869955156908E-2</v>
      </c>
      <c r="J7">
        <f t="shared" si="0"/>
        <v>9.8438268477948884E-2</v>
      </c>
      <c r="K7" s="2" t="s">
        <v>15</v>
      </c>
      <c r="L7" s="3">
        <f>ABS(B8-B7)/B8*100</f>
        <v>0.98136645962733693</v>
      </c>
      <c r="M7" s="3">
        <f>ABS(C8-C7)/C8*100</f>
        <v>4.6383326522272093</v>
      </c>
      <c r="N7" s="3">
        <f>ABS(D8-D7)/D8*100</f>
        <v>12.973838761345432</v>
      </c>
      <c r="O7" s="3">
        <f t="shared" si="1"/>
        <v>18.593537873199978</v>
      </c>
    </row>
    <row r="8" spans="1:15" x14ac:dyDescent="0.25">
      <c r="A8">
        <v>7</v>
      </c>
      <c r="B8">
        <v>80.5</v>
      </c>
      <c r="C8">
        <v>48.94</v>
      </c>
      <c r="D8">
        <v>18.73</v>
      </c>
      <c r="G8">
        <f>ABS(B11-B8)/B11</f>
        <v>5.9273894788837234E-3</v>
      </c>
      <c r="H8">
        <f t="shared" ref="H8:I8" si="6">ABS(C11-C8)/C11</f>
        <v>3.9949001274968025E-2</v>
      </c>
      <c r="I8">
        <f t="shared" si="6"/>
        <v>4.9887892376681647E-2</v>
      </c>
      <c r="J8">
        <f t="shared" si="0"/>
        <v>9.5764283130533395E-2</v>
      </c>
      <c r="K8" s="2" t="s">
        <v>16</v>
      </c>
      <c r="L8" s="3">
        <f>ABS(B9-B8)/B9*100</f>
        <v>1.6670876483960508</v>
      </c>
      <c r="M8" s="3">
        <f>ABS(C9-C8)/C9*100</f>
        <v>5.7476231633534924</v>
      </c>
      <c r="N8" s="3">
        <f>ABS(D9-D8)/D9*100</f>
        <v>19.147582697201017</v>
      </c>
      <c r="O8" s="3">
        <f t="shared" si="1"/>
        <v>26.56229350895056</v>
      </c>
    </row>
    <row r="9" spans="1:15" x14ac:dyDescent="0.25">
      <c r="A9">
        <v>8</v>
      </c>
      <c r="B9">
        <v>79.180000000000007</v>
      </c>
      <c r="C9">
        <v>46.28</v>
      </c>
      <c r="D9">
        <v>15.72</v>
      </c>
      <c r="G9">
        <f>ABS(B11-B9)/B11</f>
        <v>2.2227710545813746E-2</v>
      </c>
      <c r="H9">
        <f t="shared" ref="H9:I9" si="7">ABS(C11-C9)/C11</f>
        <v>1.657458563535914E-2</v>
      </c>
      <c r="I9">
        <f t="shared" si="7"/>
        <v>0.11883408071748874</v>
      </c>
      <c r="J9">
        <f t="shared" si="0"/>
        <v>0.15763637689866161</v>
      </c>
      <c r="K9" s="2" t="s">
        <v>17</v>
      </c>
      <c r="L9" s="3">
        <f>ABS(B10-B9)/B10*100</f>
        <v>2.5956452208143674</v>
      </c>
      <c r="M9" s="3">
        <f>ABS(C10-C9)/C10*100</f>
        <v>1.5947267701467149</v>
      </c>
      <c r="N9" s="3">
        <f>ABS(D10-D9)/D10*100</f>
        <v>15.027027027027023</v>
      </c>
      <c r="O9" s="3">
        <f t="shared" si="1"/>
        <v>19.217399017988107</v>
      </c>
    </row>
    <row r="10" spans="1:15" x14ac:dyDescent="0.25">
      <c r="A10">
        <v>9</v>
      </c>
      <c r="B10">
        <v>81.290000000000006</v>
      </c>
      <c r="C10">
        <v>47.03</v>
      </c>
      <c r="D10">
        <v>18.5</v>
      </c>
      <c r="G10">
        <f>ABS(B11-B10)/B11</f>
        <v>3.8281057051124012E-3</v>
      </c>
      <c r="H10">
        <f t="shared" ref="H10:I10" si="8">ABS(C11-C10)/C11</f>
        <v>6.3748406289845165E-4</v>
      </c>
      <c r="I10">
        <f t="shared" si="8"/>
        <v>3.6995515695067274E-2</v>
      </c>
      <c r="J10">
        <f t="shared" si="0"/>
        <v>4.1461105463078129E-2</v>
      </c>
      <c r="K10" s="2" t="s">
        <v>18</v>
      </c>
      <c r="L10" s="3">
        <f>ABS(B11-B10)/B11*100</f>
        <v>0.38281057051124012</v>
      </c>
      <c r="M10" s="3">
        <f>ABS(C11-C10)/C11*100</f>
        <v>6.3748406289845169E-2</v>
      </c>
      <c r="N10" s="3">
        <f>ABS(D11-D10)/D11*100</f>
        <v>3.6995515695067276</v>
      </c>
      <c r="O10" s="3">
        <f t="shared" si="1"/>
        <v>4.1461105463078125</v>
      </c>
    </row>
    <row r="11" spans="1:15" x14ac:dyDescent="0.25">
      <c r="A11">
        <v>10</v>
      </c>
      <c r="B11">
        <v>80.98</v>
      </c>
      <c r="C11">
        <v>47.06</v>
      </c>
      <c r="D11">
        <v>17.84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5.54</v>
      </c>
      <c r="C2">
        <v>24.92</v>
      </c>
      <c r="D2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FO</vt:lpstr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u188565</cp:lastModifiedBy>
  <dcterms:created xsi:type="dcterms:W3CDTF">2026-05-29T10:25:33Z</dcterms:created>
  <dcterms:modified xsi:type="dcterms:W3CDTF">2026-06-15T16:24:49Z</dcterms:modified>
</cp:coreProperties>
</file>